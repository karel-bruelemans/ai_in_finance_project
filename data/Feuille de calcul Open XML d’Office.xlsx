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s Évènements par Volu" sheetId="1" r:id="rId5"/>
  </sheets>
  <definedNames/>
  <calcPr/>
</workbook>
</file>

<file path=xl/sharedStrings.xml><?xml version="1.0" encoding="utf-8"?>
<sst xmlns="http://schemas.openxmlformats.org/spreadsheetml/2006/main" count="667" uniqueCount="137">
  <si>
    <t>Évènement</t>
  </si>
  <si>
    <t>délit d'initié</t>
  </si>
  <si>
    <t>Prédiction</t>
  </si>
  <si>
    <t>LLM</t>
  </si>
  <si>
    <t>Will Donald Trump Jr. win the 2028 US Presidential Election?</t>
  </si>
  <si>
    <t>YES</t>
  </si>
  <si>
    <t>US Equities (S&amp;P 500 / Nasdaq)</t>
  </si>
  <si>
    <t>HOLD</t>
  </si>
  <si>
    <t>Will WTI Crude Oil (WTI) hit (HIGH) $110 in April?</t>
  </si>
  <si>
    <t>Crude Oil</t>
  </si>
  <si>
    <t>BUY</t>
  </si>
  <si>
    <t>Kharg Island no longer under Iranian control by June 30?</t>
  </si>
  <si>
    <t>Will another country conduct military action against Iran by April 15, 2026?</t>
  </si>
  <si>
    <t>Gold</t>
  </si>
  <si>
    <t>Analyse primaire</t>
  </si>
  <si>
    <t>SELL</t>
  </si>
  <si>
    <t>Bonnes réponses</t>
  </si>
  <si>
    <t>MicroStrategy sells any Bitcoin by June 30, 2026?</t>
  </si>
  <si>
    <t>Total</t>
  </si>
  <si>
    <t>Will Bitcoin reach $100,000 in April?</t>
  </si>
  <si>
    <t>Accucary</t>
  </si>
  <si>
    <t>Will María Corina Machado be the leader of Venezuela end of 2026?</t>
  </si>
  <si>
    <t>Will GPT-6 be released by June 30, 2026?</t>
  </si>
  <si>
    <t>Gemini 3.5 released by May 31?</t>
  </si>
  <si>
    <t>Matrice de confusion</t>
  </si>
  <si>
    <t>Will Greece send warships through the Strait of Hormuz by April 30, 2026?</t>
  </si>
  <si>
    <t>Insider / LLm</t>
  </si>
  <si>
    <t>Buy</t>
  </si>
  <si>
    <t>Sell</t>
  </si>
  <si>
    <t>Hold</t>
  </si>
  <si>
    <t>Will US crude oil reserves fall to 375M by May 1?</t>
  </si>
  <si>
    <t>Will Ethereum reach $7,500 by December 31, 2026?</t>
  </si>
  <si>
    <t>Will Italy send warships through the Strait of Hormuz by April 30, 2026?</t>
  </si>
  <si>
    <t>Bitcoin Up or Down - April 17, 10AM ET</t>
  </si>
  <si>
    <t>Will voter turnout be &lt;65% in the 2026 Hungarian parliamentary election?</t>
  </si>
  <si>
    <t>European Equities (EuroStoxx)</t>
  </si>
  <si>
    <t>/</t>
  </si>
  <si>
    <t>DIFFERENCE</t>
  </si>
  <si>
    <t>Will Keiko Fujimori win the first round of the 2026 Peruvian presidential elections by at least 5%?</t>
  </si>
  <si>
    <t>Copper</t>
  </si>
  <si>
    <t>Métrique de suivi</t>
  </si>
  <si>
    <t>USD.AI FDV above $6B one day after launch?</t>
  </si>
  <si>
    <t>Classe</t>
  </si>
  <si>
    <t>Précision</t>
  </si>
  <si>
    <t>Rappel</t>
  </si>
  <si>
    <t>F1-Score</t>
  </si>
  <si>
    <t>Will the highest temperature in Miami be between 80-81°F on April 17?</t>
  </si>
  <si>
    <t>Natural Gas</t>
  </si>
  <si>
    <t>Will the No to ten million Switzerland initiative be approved in Switzerland's June 14, 2026 popular vote?</t>
  </si>
  <si>
    <t>Euro (EUR)</t>
  </si>
  <si>
    <t>QQQ (QQQ) Up or Down on April 17?</t>
  </si>
  <si>
    <t>Will the highest temperature in New York City be between 88-89°F on April 17?</t>
  </si>
  <si>
    <t>Will the highest temperature in Taipei be 32°C on April 17?</t>
  </si>
  <si>
    <t>Will Russia enter Pokrovskoe by April 30, 2026?</t>
  </si>
  <si>
    <t>Will the price of Bitcoin be above $74,000 on April 20?</t>
  </si>
  <si>
    <t>Will Trump deport 800-900k people?</t>
  </si>
  <si>
    <t>US Dollar (USD)</t>
  </si>
  <si>
    <t>Will Natural Gas (NG) hit (HIGH) $2.80 Week of April 13 2026?</t>
  </si>
  <si>
    <t>Will the price of Ethereum be above $2,100 on April 18?</t>
  </si>
  <si>
    <t>Will BNB reach $1500 by December 31, 2026?</t>
  </si>
  <si>
    <t>Will the Democratic Party win the ND-AL House seat?</t>
  </si>
  <si>
    <t>Will Trump end Department of Education before 2027?</t>
  </si>
  <si>
    <t>Will the Democratic Party win the IL-09 House seat?</t>
  </si>
  <si>
    <t>Will Trump create a tariff dividend by June 30?</t>
  </si>
  <si>
    <t>Will the highest temperature in Wellington be 15°C on April 18?</t>
  </si>
  <si>
    <t>Law banning sports prediction markets enacted in 2026?</t>
  </si>
  <si>
    <t>Will the highest temperature in Cape Town be 16°C on April 17?</t>
  </si>
  <si>
    <t>Will S&amp;P 500 (SPX) hit $5,800 (LOW) in December?</t>
  </si>
  <si>
    <t>Will October be the best month for Bitcoin in 2026?</t>
  </si>
  <si>
    <t>Will the Republican Party win the NM-01 House seat?</t>
  </si>
  <si>
    <t>Will Elon Musk's net worth be between $620b and $630b on April 30?</t>
  </si>
  <si>
    <t>Will US crude oil reserves fall to 275M by June 5?</t>
  </si>
  <si>
    <t>Will ThreadGuy appear on the UpOnly podcast by December 31?</t>
  </si>
  <si>
    <t>Will Claude go down 6-8 times in April?</t>
  </si>
  <si>
    <t>Will Trump pardon Ghislaine Maxwell before 2027?</t>
  </si>
  <si>
    <t>Will Elon Musk post 220-239 tweets from April 17 to April 24, 2026?</t>
  </si>
  <si>
    <t>Will the Democratic Party win the CA-26 House seat?</t>
  </si>
  <si>
    <t>Will the highest temperature in Seattle be 51°F or below on April 17?</t>
  </si>
  <si>
    <t>Will the highest temperature in Munich be 21°C on April 17?</t>
  </si>
  <si>
    <t>Will the Democratic Party win the NM-01 House seat?</t>
  </si>
  <si>
    <t>Will Donald Trump publicly insult J.D. Vance by April 30, 2026?</t>
  </si>
  <si>
    <t>Solana Up or Down - April 17, 10:30AM-10:45AM ET</t>
  </si>
  <si>
    <t>Will Based Polymarket revenue hit $1M before 2027?</t>
  </si>
  <si>
    <t>Will SpaceX raise less than $40B in its IPO?</t>
  </si>
  <si>
    <t>Will Plaid Cymru win the most seats in the 2026 Welsh Senedd election?</t>
  </si>
  <si>
    <t>Will the Republican Party win the IL-07 House seat?</t>
  </si>
  <si>
    <t>Will Dogecoin reach $0.24 by December 31, 2026?</t>
  </si>
  <si>
    <t>Will the highest temperature in Miami be between 90-91°F on April 18?</t>
  </si>
  <si>
    <t>Will the highest temperature in Istanbul be 12°C on April 18?</t>
  </si>
  <si>
    <t>Will the highest temperature in London be 14°C on April 19?</t>
  </si>
  <si>
    <t>Natural Gas (NG) Up or Down on April 17?</t>
  </si>
  <si>
    <t>Will Tesla (TSLA) close above $310 end of April?</t>
  </si>
  <si>
    <t>Will Amazon dip to $132 in April?</t>
  </si>
  <si>
    <t>NO</t>
  </si>
  <si>
    <t>Will United Russia win between 295 and 309 seats in the next Russian State Duma election?</t>
  </si>
  <si>
    <t>Will the highest temperature in London be 10°C on April 19?</t>
  </si>
  <si>
    <t>Will the highest temperature in Panama City be 32°C or higher on April 18?</t>
  </si>
  <si>
    <t>EWY (EWY) Up or Down on April 17?</t>
  </si>
  <si>
    <t>Will the highest temperature in Guangzhou be 36°C on April 18?</t>
  </si>
  <si>
    <t>Will the highest temperature in Busan be 16°C on April 18?</t>
  </si>
  <si>
    <t>Will Argentina's annual inflation in 2026 be at least 45%?</t>
  </si>
  <si>
    <t>Will Gold (XAUUSD) hit (LOW) $4,300 in April?</t>
  </si>
  <si>
    <t>Will Robinhood Markets, Inc. (HOOD) hit (LOW) $55 Week of April 13 2026?</t>
  </si>
  <si>
    <t>Will the price of XRP be above $1.20 on April 20?</t>
  </si>
  <si>
    <t>Will Howard Lutnick be the next to leave the Trump Cabinet before 2027?</t>
  </si>
  <si>
    <t>Will the price of Solana be above $120 on April 20?</t>
  </si>
  <si>
    <t>Will IMAX (IMAX) beat quarterly earnings?</t>
  </si>
  <si>
    <t>Will S&amp;P 500 (SPX) hit $9,300 (HIGH) in December?</t>
  </si>
  <si>
    <t>Will the price of Bitcoin be above $78,000 on April 23?</t>
  </si>
  <si>
    <t>Will the Republican Party win the FL-10 House seat?</t>
  </si>
  <si>
    <t>Will NVIDIA (NVDA) hit (LOW) $172 Week of April 13 2026?</t>
  </si>
  <si>
    <t>Will Tesla, Inc. (TSLA) hit (LOW) $315 Week of April 13 2026?</t>
  </si>
  <si>
    <t>Will Scott Bessent be the next to leave the Trump Cabinet before 2027?</t>
  </si>
  <si>
    <t>Will Palantir Technologies Inc. (PLTR) hit (LOW) $126 Week of April 13 2026?</t>
  </si>
  <si>
    <t>Will the Democratic Party win the PA-12 House seat?</t>
  </si>
  <si>
    <t>Will the Republican Party win the PA-06 House seat?</t>
  </si>
  <si>
    <t>Will Netflix (NFLX) finish week of April 13 above $120?</t>
  </si>
  <si>
    <t>Will the highest temperature in Seattle be between 52-53°F on April 19?</t>
  </si>
  <si>
    <t>Will Kailera Therapeutics's market cap be between $1.9B and $2.0B at market close on IPO day?</t>
  </si>
  <si>
    <t>Will Chainlink dip to $6 by December 31, 2026?</t>
  </si>
  <si>
    <t>Will the highest temperature in Madrid be 21°C or below on April 19?</t>
  </si>
  <si>
    <t>Will the highest temperature in New York City be between 64-65°F on April 19?</t>
  </si>
  <si>
    <t>Will the Republican Party win the AL-05 House seat?</t>
  </si>
  <si>
    <t>Will Nasdaq 100 (QQQ) hit (LOW) $580 Week of April 13 2026?</t>
  </si>
  <si>
    <t>Will Zelenskyy post 120-139 posts from April 10 to April 17, 2026?</t>
  </si>
  <si>
    <t>Will the Democratic Party win the TX-28 House seat?</t>
  </si>
  <si>
    <t>Will the price of Solana be between $40 and $50 on April 19?</t>
  </si>
  <si>
    <t>Will the price of Bitcoin be between $64,000 and $66,000 on April 22?</t>
  </si>
  <si>
    <t>Ethereum above 2,350 on April 17, 11AM ET?</t>
  </si>
  <si>
    <t>Will the price of Ethereum be above $2,200 on April 23?</t>
  </si>
  <si>
    <t>Will South Korea's 2026 Annual Inflation be between 2.7% and 2.9%?</t>
  </si>
  <si>
    <t>HYPE Up or Down on April 17?</t>
  </si>
  <si>
    <t>Will OpenAI's market cap be between $750B and $1T at market close on IPO day by December 31, 2027?</t>
  </si>
  <si>
    <t>Will Japan GDP growth in Q1 2026 be between 0.3% and 0.5%?</t>
  </si>
  <si>
    <t>US Treasury Bonds</t>
  </si>
  <si>
    <t>Will the highest temperature in Busan be 22°C on April 19?</t>
  </si>
  <si>
    <t>Will Starmer say "War" during the next Prime Minister's Questions event?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</si>
</sst>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%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sz val="9.0"/>
      <color theme="1"/>
      <name val="Arial"/>
    </font>
    <font>
      <b/>
      <sz val="9.0"/>
      <color rgb="FF1E3A8A"/>
      <name val="Arial"/>
    </font>
    <font>
      <b/>
      <sz val="9.0"/>
      <color rgb="FF92400E"/>
      <name val="Arial"/>
    </font>
    <font>
      <b/>
      <sz val="9.0"/>
      <color rgb="FF065F46"/>
      <name val="Arial"/>
    </font>
    <font>
      <color theme="1"/>
      <name val="Arial"/>
      <scheme val="minor"/>
    </font>
    <font>
      <b/>
      <sz val="9.0"/>
      <color rgb="FF991B1B"/>
      <name val="Arial"/>
    </font>
    <font>
      <sz val="12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9.0"/>
      <color rgb="FF6B728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9FAFB"/>
        <bgColor rgb="FFF9FAFB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F0000"/>
        <bgColor rgb="FFFF0000"/>
      </patternFill>
    </fill>
    <fill>
      <patternFill patternType="solid">
        <fgColor rgb="FFF3F4F6"/>
        <bgColor rgb="FFF3F4F6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1" fillId="6" fontId="2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horizontal="center" readingOrder="0" shrinkToFit="0" wrapText="0"/>
    </xf>
    <xf borderId="1" fillId="8" fontId="4" numFmtId="0" xfId="0" applyAlignment="1" applyBorder="1" applyFill="1" applyFont="1">
      <alignment horizontal="center" readingOrder="0" shrinkToFit="0" wrapText="0"/>
    </xf>
    <xf borderId="1" fillId="9" fontId="2" numFmtId="0" xfId="0" applyAlignment="1" applyBorder="1" applyFill="1" applyFont="1">
      <alignment readingOrder="0"/>
    </xf>
    <xf borderId="1" fillId="10" fontId="5" numFmtId="0" xfId="0" applyAlignment="1" applyBorder="1" applyFill="1" applyFont="1">
      <alignment horizontal="center" readingOrder="0" shrinkToFit="0" wrapText="0"/>
    </xf>
    <xf borderId="0" fillId="2" fontId="6" numFmtId="0" xfId="0" applyAlignment="1" applyFont="1">
      <alignment horizontal="center" readingOrder="0"/>
    </xf>
    <xf borderId="1" fillId="11" fontId="7" numFmtId="0" xfId="0" applyAlignment="1" applyBorder="1" applyFill="1" applyFont="1">
      <alignment horizontal="center" readingOrder="0" shrinkToFit="0" wrapText="0"/>
    </xf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2" fillId="0" fontId="8" numFmtId="164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0" fillId="12" fontId="6" numFmtId="0" xfId="0" applyAlignment="1" applyFill="1" applyFont="1">
      <alignment readingOrder="0"/>
    </xf>
    <xf borderId="2" fillId="0" fontId="9" numFmtId="0" xfId="0" applyAlignment="1" applyBorder="1" applyFont="1">
      <alignment horizontal="center" vertical="bottom"/>
    </xf>
    <xf borderId="2" fillId="0" fontId="10" numFmtId="10" xfId="0" applyAlignment="1" applyBorder="1" applyFont="1" applyNumberFormat="1">
      <alignment horizontal="center" vertical="bottom"/>
    </xf>
    <xf borderId="2" fillId="0" fontId="10" numFmtId="10" xfId="0" applyAlignment="1" applyBorder="1" applyFont="1" applyNumberFormat="1">
      <alignment horizontal="center" readingOrder="0" vertical="bottom"/>
    </xf>
    <xf borderId="1" fillId="13" fontId="11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38"/>
    <col customWidth="1" min="3" max="3" width="27.25"/>
    <col customWidth="1" min="5" max="5" width="22.63"/>
    <col customWidth="1" min="8" max="8" width="11.63"/>
    <col customWidth="1" min="9" max="9" width="13.38"/>
    <col customWidth="1" min="10" max="10" width="15.88"/>
  </cols>
  <sheetData>
    <row r="1">
      <c r="A1" s="1" t="s">
        <v>0</v>
      </c>
      <c r="B1" s="2" t="s">
        <v>1</v>
      </c>
      <c r="C1" s="3" t="s">
        <v>2</v>
      </c>
      <c r="E1" s="4" t="s">
        <v>3</v>
      </c>
    </row>
    <row r="2">
      <c r="A2" s="5" t="s">
        <v>4</v>
      </c>
      <c r="B2" s="6" t="s">
        <v>5</v>
      </c>
      <c r="C2" s="5" t="s">
        <v>6</v>
      </c>
      <c r="D2" s="7" t="s">
        <v>7</v>
      </c>
      <c r="E2" s="5" t="s">
        <v>6</v>
      </c>
      <c r="F2" s="7" t="s">
        <v>7</v>
      </c>
    </row>
    <row r="3">
      <c r="A3" s="8" t="s">
        <v>8</v>
      </c>
      <c r="B3" s="6" t="s">
        <v>5</v>
      </c>
      <c r="C3" s="8" t="s">
        <v>9</v>
      </c>
      <c r="D3" s="9" t="s">
        <v>10</v>
      </c>
      <c r="E3" s="8" t="s">
        <v>9</v>
      </c>
      <c r="F3" s="9" t="s">
        <v>10</v>
      </c>
    </row>
    <row r="4">
      <c r="A4" s="5" t="s">
        <v>11</v>
      </c>
      <c r="B4" s="6" t="s">
        <v>5</v>
      </c>
      <c r="C4" s="5" t="s">
        <v>9</v>
      </c>
      <c r="D4" s="9" t="s">
        <v>10</v>
      </c>
      <c r="E4" s="5" t="s">
        <v>9</v>
      </c>
      <c r="F4" s="9" t="s">
        <v>10</v>
      </c>
    </row>
    <row r="5">
      <c r="A5" s="8" t="s">
        <v>12</v>
      </c>
      <c r="B5" s="6" t="s">
        <v>5</v>
      </c>
      <c r="C5" s="8" t="s">
        <v>9</v>
      </c>
      <c r="D5" s="9" t="s">
        <v>10</v>
      </c>
      <c r="E5" s="8" t="s">
        <v>9</v>
      </c>
      <c r="F5" s="9" t="s">
        <v>10</v>
      </c>
    </row>
    <row r="6">
      <c r="A6" s="5" t="s">
        <v>12</v>
      </c>
      <c r="B6" s="6" t="s">
        <v>5</v>
      </c>
      <c r="C6" s="5" t="s">
        <v>13</v>
      </c>
      <c r="D6" s="9" t="s">
        <v>10</v>
      </c>
      <c r="E6" s="5" t="s">
        <v>13</v>
      </c>
      <c r="F6" s="9" t="s">
        <v>10</v>
      </c>
      <c r="I6" s="10" t="s">
        <v>14</v>
      </c>
    </row>
    <row r="7">
      <c r="A7" s="8" t="s">
        <v>12</v>
      </c>
      <c r="B7" s="6" t="s">
        <v>5</v>
      </c>
      <c r="C7" s="8" t="s">
        <v>6</v>
      </c>
      <c r="D7" s="11" t="s">
        <v>15</v>
      </c>
      <c r="E7" s="8" t="s">
        <v>6</v>
      </c>
      <c r="F7" s="11" t="s">
        <v>15</v>
      </c>
      <c r="I7" s="12">
        <f>SUMPRODUCT((C2:D108=E2:F108)*1)/2</f>
        <v>105</v>
      </c>
      <c r="J7" s="13" t="s">
        <v>16</v>
      </c>
    </row>
    <row r="8">
      <c r="A8" s="5" t="s">
        <v>17</v>
      </c>
      <c r="B8" s="6" t="s">
        <v>5</v>
      </c>
      <c r="C8" s="5" t="s">
        <v>6</v>
      </c>
      <c r="D8" s="11" t="s">
        <v>15</v>
      </c>
      <c r="E8" s="5" t="s">
        <v>6</v>
      </c>
      <c r="F8" s="11" t="s">
        <v>15</v>
      </c>
      <c r="I8" s="13">
        <f>COUNTA(F2:F108)</f>
        <v>107</v>
      </c>
      <c r="J8" s="13" t="s">
        <v>18</v>
      </c>
    </row>
    <row r="9">
      <c r="A9" s="8" t="s">
        <v>19</v>
      </c>
      <c r="B9" s="6" t="s">
        <v>5</v>
      </c>
      <c r="C9" s="8" t="s">
        <v>6</v>
      </c>
      <c r="D9" s="9" t="s">
        <v>10</v>
      </c>
      <c r="E9" s="8" t="s">
        <v>6</v>
      </c>
      <c r="F9" s="9" t="s">
        <v>10</v>
      </c>
      <c r="I9" s="14">
        <f>I7/I8</f>
        <v>0.9813084112</v>
      </c>
      <c r="J9" s="13" t="s">
        <v>20</v>
      </c>
    </row>
    <row r="10">
      <c r="A10" s="5" t="s">
        <v>21</v>
      </c>
      <c r="B10" s="6" t="s">
        <v>5</v>
      </c>
      <c r="C10" s="5" t="s">
        <v>9</v>
      </c>
      <c r="D10" s="9" t="s">
        <v>10</v>
      </c>
      <c r="E10" s="5" t="s">
        <v>9</v>
      </c>
      <c r="F10" s="9" t="s">
        <v>10</v>
      </c>
    </row>
    <row r="11">
      <c r="A11" s="8" t="s">
        <v>22</v>
      </c>
      <c r="B11" s="6" t="s">
        <v>5</v>
      </c>
      <c r="C11" s="8" t="s">
        <v>6</v>
      </c>
      <c r="D11" s="9" t="s">
        <v>10</v>
      </c>
      <c r="E11" s="8" t="s">
        <v>6</v>
      </c>
      <c r="F11" s="9" t="s">
        <v>10</v>
      </c>
    </row>
    <row r="12">
      <c r="A12" s="5" t="s">
        <v>23</v>
      </c>
      <c r="B12" s="6" t="s">
        <v>5</v>
      </c>
      <c r="C12" s="5" t="s">
        <v>6</v>
      </c>
      <c r="D12" s="9" t="s">
        <v>10</v>
      </c>
      <c r="E12" s="5" t="s">
        <v>6</v>
      </c>
      <c r="F12" s="9" t="s">
        <v>10</v>
      </c>
      <c r="H12" s="10" t="s">
        <v>24</v>
      </c>
    </row>
    <row r="13">
      <c r="A13" s="8" t="s">
        <v>25</v>
      </c>
      <c r="B13" s="6" t="s">
        <v>5</v>
      </c>
      <c r="C13" s="8" t="s">
        <v>9</v>
      </c>
      <c r="D13" s="9" t="s">
        <v>10</v>
      </c>
      <c r="E13" s="8" t="s">
        <v>9</v>
      </c>
      <c r="F13" s="9" t="s">
        <v>10</v>
      </c>
      <c r="H13" s="15" t="s">
        <v>26</v>
      </c>
      <c r="I13" s="15" t="s">
        <v>27</v>
      </c>
      <c r="J13" s="15" t="s">
        <v>28</v>
      </c>
      <c r="K13" s="15" t="s">
        <v>29</v>
      </c>
    </row>
    <row r="14">
      <c r="A14" s="5" t="s">
        <v>30</v>
      </c>
      <c r="B14" s="6" t="s">
        <v>5</v>
      </c>
      <c r="C14" s="5" t="s">
        <v>9</v>
      </c>
      <c r="D14" s="9" t="s">
        <v>10</v>
      </c>
      <c r="E14" s="5" t="s">
        <v>9</v>
      </c>
      <c r="F14" s="9" t="s">
        <v>10</v>
      </c>
      <c r="H14" s="15" t="s">
        <v>27</v>
      </c>
      <c r="I14" s="16">
        <v>43.0</v>
      </c>
      <c r="J14" s="16">
        <v>0.0</v>
      </c>
      <c r="K14" s="16">
        <v>1.0</v>
      </c>
    </row>
    <row r="15">
      <c r="A15" s="8" t="s">
        <v>31</v>
      </c>
      <c r="B15" s="6" t="s">
        <v>5</v>
      </c>
      <c r="C15" s="8" t="s">
        <v>6</v>
      </c>
      <c r="D15" s="9" t="s">
        <v>10</v>
      </c>
      <c r="E15" s="8" t="s">
        <v>6</v>
      </c>
      <c r="F15" s="9" t="s">
        <v>10</v>
      </c>
      <c r="H15" s="15" t="s">
        <v>28</v>
      </c>
      <c r="I15" s="16">
        <v>0.0</v>
      </c>
      <c r="J15" s="16">
        <v>15.0</v>
      </c>
      <c r="K15" s="16">
        <v>0.0</v>
      </c>
    </row>
    <row r="16">
      <c r="A16" s="5" t="s">
        <v>32</v>
      </c>
      <c r="B16" s="6" t="s">
        <v>5</v>
      </c>
      <c r="C16" s="5" t="s">
        <v>9</v>
      </c>
      <c r="D16" s="9" t="s">
        <v>10</v>
      </c>
      <c r="E16" s="5" t="s">
        <v>9</v>
      </c>
      <c r="F16" s="9" t="s">
        <v>10</v>
      </c>
      <c r="H16" s="15" t="s">
        <v>29</v>
      </c>
      <c r="I16" s="16">
        <v>0.0</v>
      </c>
      <c r="J16" s="16">
        <v>0.0</v>
      </c>
      <c r="K16" s="16">
        <v>47.0</v>
      </c>
    </row>
    <row r="17">
      <c r="A17" s="8" t="s">
        <v>33</v>
      </c>
      <c r="B17" s="6" t="s">
        <v>5</v>
      </c>
      <c r="C17" s="8" t="s">
        <v>6</v>
      </c>
      <c r="D17" s="9" t="s">
        <v>10</v>
      </c>
      <c r="E17" s="8" t="s">
        <v>6</v>
      </c>
      <c r="F17" s="9" t="s">
        <v>10</v>
      </c>
    </row>
    <row r="18">
      <c r="A18" s="5" t="s">
        <v>34</v>
      </c>
      <c r="B18" s="6" t="s">
        <v>5</v>
      </c>
      <c r="C18" s="5" t="s">
        <v>35</v>
      </c>
      <c r="D18" s="9" t="s">
        <v>10</v>
      </c>
      <c r="E18" s="5" t="s">
        <v>36</v>
      </c>
      <c r="F18" s="7" t="s">
        <v>7</v>
      </c>
      <c r="G18" s="17" t="s">
        <v>37</v>
      </c>
    </row>
    <row r="19">
      <c r="A19" s="8" t="s">
        <v>38</v>
      </c>
      <c r="B19" s="6" t="s">
        <v>5</v>
      </c>
      <c r="C19" s="8" t="s">
        <v>39</v>
      </c>
      <c r="D19" s="9" t="s">
        <v>10</v>
      </c>
      <c r="E19" s="8" t="s">
        <v>39</v>
      </c>
      <c r="F19" s="9" t="s">
        <v>10</v>
      </c>
      <c r="H19" s="10" t="s">
        <v>40</v>
      </c>
    </row>
    <row r="20">
      <c r="A20" s="5" t="s">
        <v>41</v>
      </c>
      <c r="B20" s="6" t="s">
        <v>5</v>
      </c>
      <c r="C20" s="5" t="s">
        <v>6</v>
      </c>
      <c r="D20" s="9" t="s">
        <v>10</v>
      </c>
      <c r="E20" s="5" t="s">
        <v>6</v>
      </c>
      <c r="F20" s="9" t="s">
        <v>10</v>
      </c>
      <c r="H20" s="18" t="s">
        <v>42</v>
      </c>
      <c r="I20" s="18" t="s">
        <v>43</v>
      </c>
      <c r="J20" s="18" t="s">
        <v>44</v>
      </c>
      <c r="K20" s="18" t="s">
        <v>45</v>
      </c>
    </row>
    <row r="21">
      <c r="A21" s="8" t="s">
        <v>22</v>
      </c>
      <c r="B21" s="6" t="s">
        <v>5</v>
      </c>
      <c r="C21" s="8" t="s">
        <v>6</v>
      </c>
      <c r="D21" s="9" t="s">
        <v>10</v>
      </c>
      <c r="E21" s="8" t="s">
        <v>6</v>
      </c>
      <c r="F21" s="9" t="s">
        <v>10</v>
      </c>
      <c r="H21" s="18" t="s">
        <v>10</v>
      </c>
      <c r="I21" s="19">
        <f>I14/I14+J14</f>
        <v>1</v>
      </c>
      <c r="J21" s="20">
        <f>I14/(I14+K14)</f>
        <v>0.9772727273</v>
      </c>
      <c r="K21" s="19">
        <f t="shared" ref="K21:K23" si="1">(I21*J21)/(I21+J21)*2</f>
        <v>0.9885057471</v>
      </c>
    </row>
    <row r="22">
      <c r="A22" s="5" t="s">
        <v>46</v>
      </c>
      <c r="B22" s="6" t="s">
        <v>5</v>
      </c>
      <c r="C22" s="5" t="s">
        <v>47</v>
      </c>
      <c r="D22" s="7" t="s">
        <v>7</v>
      </c>
      <c r="E22" s="5" t="s">
        <v>47</v>
      </c>
      <c r="F22" s="7" t="s">
        <v>7</v>
      </c>
      <c r="H22" s="18" t="s">
        <v>15</v>
      </c>
      <c r="I22" s="19">
        <f>J15/J15+K15</f>
        <v>1</v>
      </c>
      <c r="J22" s="19">
        <f>J15/J15+K15</f>
        <v>1</v>
      </c>
      <c r="K22" s="19">
        <f t="shared" si="1"/>
        <v>1</v>
      </c>
    </row>
    <row r="23">
      <c r="A23" s="8" t="s">
        <v>48</v>
      </c>
      <c r="B23" s="6" t="s">
        <v>5</v>
      </c>
      <c r="C23" s="8" t="s">
        <v>49</v>
      </c>
      <c r="D23" s="7" t="s">
        <v>7</v>
      </c>
      <c r="E23" s="8" t="s">
        <v>49</v>
      </c>
      <c r="F23" s="7" t="s">
        <v>7</v>
      </c>
      <c r="H23" s="18" t="s">
        <v>7</v>
      </c>
      <c r="I23" s="19">
        <f>K16/(K16+K14)</f>
        <v>0.9791666667</v>
      </c>
      <c r="J23" s="19">
        <f>K16/K16+0</f>
        <v>1</v>
      </c>
      <c r="K23" s="19">
        <f t="shared" si="1"/>
        <v>0.9894736842</v>
      </c>
    </row>
    <row r="24">
      <c r="A24" s="5" t="s">
        <v>50</v>
      </c>
      <c r="B24" s="6" t="s">
        <v>5</v>
      </c>
      <c r="C24" s="5" t="s">
        <v>6</v>
      </c>
      <c r="D24" s="9" t="s">
        <v>10</v>
      </c>
      <c r="E24" s="5" t="s">
        <v>6</v>
      </c>
      <c r="F24" s="9" t="s">
        <v>10</v>
      </c>
    </row>
    <row r="25">
      <c r="A25" s="8" t="s">
        <v>51</v>
      </c>
      <c r="B25" s="6" t="s">
        <v>5</v>
      </c>
      <c r="C25" s="8" t="s">
        <v>47</v>
      </c>
      <c r="D25" s="7" t="s">
        <v>7</v>
      </c>
      <c r="E25" s="8" t="s">
        <v>47</v>
      </c>
      <c r="F25" s="7" t="s">
        <v>7</v>
      </c>
    </row>
    <row r="26">
      <c r="A26" s="5" t="s">
        <v>52</v>
      </c>
      <c r="B26" s="6" t="s">
        <v>5</v>
      </c>
      <c r="C26" s="5" t="s">
        <v>47</v>
      </c>
      <c r="D26" s="7" t="s">
        <v>7</v>
      </c>
      <c r="E26" s="5" t="s">
        <v>47</v>
      </c>
      <c r="F26" s="7" t="s">
        <v>7</v>
      </c>
    </row>
    <row r="27">
      <c r="A27" s="5" t="s">
        <v>53</v>
      </c>
      <c r="B27" s="6" t="s">
        <v>5</v>
      </c>
      <c r="C27" s="5" t="s">
        <v>13</v>
      </c>
      <c r="D27" s="9" t="s">
        <v>10</v>
      </c>
      <c r="E27" s="5" t="s">
        <v>13</v>
      </c>
      <c r="F27" s="9" t="s">
        <v>10</v>
      </c>
    </row>
    <row r="28">
      <c r="A28" s="8" t="s">
        <v>54</v>
      </c>
      <c r="B28" s="6" t="s">
        <v>5</v>
      </c>
      <c r="C28" s="8" t="s">
        <v>6</v>
      </c>
      <c r="D28" s="9" t="s">
        <v>10</v>
      </c>
      <c r="E28" s="8" t="s">
        <v>6</v>
      </c>
      <c r="F28" s="9" t="s">
        <v>10</v>
      </c>
    </row>
    <row r="29">
      <c r="A29" s="5" t="s">
        <v>55</v>
      </c>
      <c r="B29" s="6" t="s">
        <v>5</v>
      </c>
      <c r="C29" s="5" t="s">
        <v>56</v>
      </c>
      <c r="D29" s="7" t="s">
        <v>7</v>
      </c>
      <c r="E29" s="5" t="s">
        <v>56</v>
      </c>
      <c r="F29" s="7" t="s">
        <v>7</v>
      </c>
    </row>
    <row r="30">
      <c r="A30" s="8" t="s">
        <v>57</v>
      </c>
      <c r="B30" s="6" t="s">
        <v>5</v>
      </c>
      <c r="C30" s="8" t="s">
        <v>47</v>
      </c>
      <c r="D30" s="9" t="s">
        <v>10</v>
      </c>
      <c r="E30" s="8" t="s">
        <v>47</v>
      </c>
      <c r="F30" s="9" t="s">
        <v>10</v>
      </c>
    </row>
    <row r="31">
      <c r="A31" s="5" t="s">
        <v>58</v>
      </c>
      <c r="B31" s="6" t="s">
        <v>5</v>
      </c>
      <c r="C31" s="5" t="s">
        <v>6</v>
      </c>
      <c r="D31" s="9" t="s">
        <v>10</v>
      </c>
      <c r="E31" s="5" t="s">
        <v>6</v>
      </c>
      <c r="F31" s="9" t="s">
        <v>10</v>
      </c>
    </row>
    <row r="32">
      <c r="A32" s="8" t="s">
        <v>59</v>
      </c>
      <c r="B32" s="6" t="s">
        <v>5</v>
      </c>
      <c r="C32" s="8" t="s">
        <v>6</v>
      </c>
      <c r="D32" s="9" t="s">
        <v>10</v>
      </c>
      <c r="E32" s="8" t="s">
        <v>6</v>
      </c>
      <c r="F32" s="9" t="s">
        <v>10</v>
      </c>
    </row>
    <row r="33">
      <c r="A33" s="5" t="s">
        <v>60</v>
      </c>
      <c r="B33" s="6" t="s">
        <v>5</v>
      </c>
      <c r="C33" s="5" t="s">
        <v>6</v>
      </c>
      <c r="D33" s="7" t="s">
        <v>7</v>
      </c>
      <c r="E33" s="5" t="s">
        <v>6</v>
      </c>
      <c r="F33" s="7" t="s">
        <v>7</v>
      </c>
    </row>
    <row r="34">
      <c r="A34" s="8" t="s">
        <v>61</v>
      </c>
      <c r="B34" s="6" t="s">
        <v>5</v>
      </c>
      <c r="C34" s="8" t="s">
        <v>6</v>
      </c>
      <c r="D34" s="7" t="s">
        <v>7</v>
      </c>
      <c r="E34" s="8" t="s">
        <v>6</v>
      </c>
      <c r="F34" s="7" t="s">
        <v>7</v>
      </c>
    </row>
    <row r="35">
      <c r="A35" s="5" t="s">
        <v>62</v>
      </c>
      <c r="B35" s="6" t="s">
        <v>5</v>
      </c>
      <c r="C35" s="5" t="s">
        <v>6</v>
      </c>
      <c r="D35" s="7" t="s">
        <v>7</v>
      </c>
      <c r="E35" s="5" t="s">
        <v>6</v>
      </c>
      <c r="F35" s="7" t="s">
        <v>7</v>
      </c>
    </row>
    <row r="36">
      <c r="A36" s="8" t="s">
        <v>63</v>
      </c>
      <c r="B36" s="6" t="s">
        <v>5</v>
      </c>
      <c r="C36" s="8" t="s">
        <v>56</v>
      </c>
      <c r="D36" s="9" t="s">
        <v>10</v>
      </c>
      <c r="E36" s="8" t="s">
        <v>56</v>
      </c>
      <c r="F36" s="9" t="s">
        <v>10</v>
      </c>
    </row>
    <row r="37">
      <c r="A37" s="5" t="s">
        <v>63</v>
      </c>
      <c r="B37" s="6" t="s">
        <v>5</v>
      </c>
      <c r="C37" s="5" t="s">
        <v>35</v>
      </c>
      <c r="D37" s="11" t="s">
        <v>15</v>
      </c>
      <c r="E37" s="5" t="s">
        <v>35</v>
      </c>
      <c r="F37" s="11" t="s">
        <v>15</v>
      </c>
    </row>
    <row r="38">
      <c r="A38" s="8" t="s">
        <v>64</v>
      </c>
      <c r="B38" s="6" t="s">
        <v>5</v>
      </c>
      <c r="C38" s="8" t="s">
        <v>47</v>
      </c>
      <c r="D38" s="7" t="s">
        <v>7</v>
      </c>
      <c r="E38" s="8" t="s">
        <v>47</v>
      </c>
      <c r="F38" s="7" t="s">
        <v>7</v>
      </c>
    </row>
    <row r="39">
      <c r="A39" s="5" t="s">
        <v>65</v>
      </c>
      <c r="B39" s="6" t="s">
        <v>5</v>
      </c>
      <c r="C39" s="5" t="s">
        <v>6</v>
      </c>
      <c r="D39" s="7" t="s">
        <v>7</v>
      </c>
      <c r="E39" s="5" t="s">
        <v>6</v>
      </c>
      <c r="F39" s="7" t="s">
        <v>7</v>
      </c>
    </row>
    <row r="40">
      <c r="A40" s="8" t="s">
        <v>66</v>
      </c>
      <c r="B40" s="6" t="s">
        <v>5</v>
      </c>
      <c r="C40" s="8" t="s">
        <v>47</v>
      </c>
      <c r="D40" s="7" t="s">
        <v>7</v>
      </c>
      <c r="E40" s="8" t="s">
        <v>47</v>
      </c>
      <c r="F40" s="7" t="s">
        <v>7</v>
      </c>
    </row>
    <row r="41">
      <c r="A41" s="5" t="s">
        <v>67</v>
      </c>
      <c r="B41" s="6" t="s">
        <v>5</v>
      </c>
      <c r="C41" s="5" t="s">
        <v>6</v>
      </c>
      <c r="D41" s="11" t="s">
        <v>15</v>
      </c>
      <c r="E41" s="5" t="s">
        <v>6</v>
      </c>
      <c r="F41" s="11" t="s">
        <v>15</v>
      </c>
    </row>
    <row r="42">
      <c r="A42" s="8" t="s">
        <v>68</v>
      </c>
      <c r="B42" s="6" t="s">
        <v>5</v>
      </c>
      <c r="C42" s="8" t="s">
        <v>6</v>
      </c>
      <c r="D42" s="9" t="s">
        <v>10</v>
      </c>
      <c r="E42" s="8" t="s">
        <v>6</v>
      </c>
      <c r="F42" s="9" t="s">
        <v>10</v>
      </c>
    </row>
    <row r="43">
      <c r="A43" s="5" t="s">
        <v>69</v>
      </c>
      <c r="B43" s="6" t="s">
        <v>5</v>
      </c>
      <c r="C43" s="5" t="s">
        <v>6</v>
      </c>
      <c r="D43" s="7" t="s">
        <v>7</v>
      </c>
      <c r="E43" s="5" t="s">
        <v>6</v>
      </c>
      <c r="F43" s="7" t="s">
        <v>7</v>
      </c>
    </row>
    <row r="44">
      <c r="A44" s="8" t="s">
        <v>70</v>
      </c>
      <c r="B44" s="6" t="s">
        <v>5</v>
      </c>
      <c r="C44" s="8" t="s">
        <v>6</v>
      </c>
      <c r="D44" s="7" t="s">
        <v>7</v>
      </c>
      <c r="E44" s="8" t="s">
        <v>6</v>
      </c>
      <c r="F44" s="7" t="s">
        <v>7</v>
      </c>
    </row>
    <row r="45">
      <c r="A45" s="5" t="s">
        <v>71</v>
      </c>
      <c r="B45" s="6" t="s">
        <v>5</v>
      </c>
      <c r="C45" s="5" t="s">
        <v>9</v>
      </c>
      <c r="D45" s="9" t="s">
        <v>10</v>
      </c>
      <c r="E45" s="5" t="s">
        <v>9</v>
      </c>
      <c r="F45" s="9" t="s">
        <v>10</v>
      </c>
    </row>
    <row r="46">
      <c r="A46" s="8" t="s">
        <v>72</v>
      </c>
      <c r="B46" s="6" t="s">
        <v>5</v>
      </c>
      <c r="C46" s="8" t="s">
        <v>6</v>
      </c>
      <c r="D46" s="7" t="s">
        <v>7</v>
      </c>
      <c r="E46" s="8" t="s">
        <v>6</v>
      </c>
      <c r="F46" s="7" t="s">
        <v>7</v>
      </c>
    </row>
    <row r="47">
      <c r="A47" s="5" t="s">
        <v>73</v>
      </c>
      <c r="B47" s="6" t="s">
        <v>5</v>
      </c>
      <c r="C47" s="5" t="s">
        <v>6</v>
      </c>
      <c r="D47" s="7" t="s">
        <v>7</v>
      </c>
      <c r="E47" s="5" t="s">
        <v>6</v>
      </c>
      <c r="F47" s="7" t="s">
        <v>7</v>
      </c>
    </row>
    <row r="48">
      <c r="A48" s="8" t="s">
        <v>74</v>
      </c>
      <c r="B48" s="6" t="s">
        <v>5</v>
      </c>
      <c r="C48" s="8" t="s">
        <v>6</v>
      </c>
      <c r="D48" s="7" t="s">
        <v>7</v>
      </c>
      <c r="E48" s="8" t="s">
        <v>6</v>
      </c>
      <c r="F48" s="7" t="s">
        <v>7</v>
      </c>
    </row>
    <row r="49">
      <c r="A49" s="5" t="s">
        <v>75</v>
      </c>
      <c r="B49" s="6" t="s">
        <v>5</v>
      </c>
      <c r="C49" s="5" t="s">
        <v>6</v>
      </c>
      <c r="D49" s="7" t="s">
        <v>7</v>
      </c>
      <c r="E49" s="5" t="s">
        <v>6</v>
      </c>
      <c r="F49" s="7" t="s">
        <v>7</v>
      </c>
    </row>
    <row r="50">
      <c r="A50" s="8" t="s">
        <v>76</v>
      </c>
      <c r="B50" s="6" t="s">
        <v>5</v>
      </c>
      <c r="C50" s="8" t="s">
        <v>6</v>
      </c>
      <c r="D50" s="7" t="s">
        <v>7</v>
      </c>
      <c r="E50" s="8" t="s">
        <v>6</v>
      </c>
      <c r="F50" s="7" t="s">
        <v>7</v>
      </c>
    </row>
    <row r="51">
      <c r="A51" s="5" t="s">
        <v>77</v>
      </c>
      <c r="B51" s="6" t="s">
        <v>5</v>
      </c>
      <c r="C51" s="5"/>
      <c r="D51" s="7" t="s">
        <v>36</v>
      </c>
      <c r="E51" s="5" t="s">
        <v>47</v>
      </c>
      <c r="F51" s="9" t="s">
        <v>10</v>
      </c>
      <c r="G51" s="17" t="s">
        <v>37</v>
      </c>
    </row>
    <row r="52">
      <c r="A52" s="8" t="s">
        <v>78</v>
      </c>
      <c r="B52" s="6" t="s">
        <v>5</v>
      </c>
      <c r="C52" s="8" t="s">
        <v>47</v>
      </c>
      <c r="D52" s="7" t="s">
        <v>7</v>
      </c>
      <c r="E52" s="8" t="s">
        <v>47</v>
      </c>
      <c r="F52" s="7" t="s">
        <v>7</v>
      </c>
    </row>
    <row r="53">
      <c r="A53" s="5" t="s">
        <v>79</v>
      </c>
      <c r="B53" s="6" t="s">
        <v>5</v>
      </c>
      <c r="C53" s="5" t="s">
        <v>6</v>
      </c>
      <c r="D53" s="7" t="s">
        <v>7</v>
      </c>
      <c r="E53" s="5" t="s">
        <v>6</v>
      </c>
      <c r="F53" s="7" t="s">
        <v>7</v>
      </c>
    </row>
    <row r="54">
      <c r="A54" s="8" t="s">
        <v>80</v>
      </c>
      <c r="B54" s="6" t="s">
        <v>5</v>
      </c>
      <c r="C54" s="8" t="s">
        <v>6</v>
      </c>
      <c r="D54" s="11" t="s">
        <v>15</v>
      </c>
      <c r="E54" s="8" t="s">
        <v>6</v>
      </c>
      <c r="F54" s="11" t="s">
        <v>15</v>
      </c>
    </row>
    <row r="55">
      <c r="A55" s="5" t="s">
        <v>81</v>
      </c>
      <c r="B55" s="6" t="s">
        <v>5</v>
      </c>
      <c r="C55" s="5" t="s">
        <v>6</v>
      </c>
      <c r="D55" s="9" t="s">
        <v>10</v>
      </c>
      <c r="E55" s="5" t="s">
        <v>6</v>
      </c>
      <c r="F55" s="9" t="s">
        <v>10</v>
      </c>
    </row>
    <row r="56">
      <c r="A56" s="8" t="s">
        <v>82</v>
      </c>
      <c r="B56" s="6" t="s">
        <v>5</v>
      </c>
      <c r="C56" s="8" t="s">
        <v>6</v>
      </c>
      <c r="D56" s="7" t="s">
        <v>7</v>
      </c>
      <c r="E56" s="8" t="s">
        <v>6</v>
      </c>
      <c r="F56" s="7" t="s">
        <v>7</v>
      </c>
    </row>
    <row r="57">
      <c r="A57" s="5" t="s">
        <v>83</v>
      </c>
      <c r="B57" s="6" t="s">
        <v>5</v>
      </c>
      <c r="C57" s="5" t="s">
        <v>6</v>
      </c>
      <c r="D57" s="7" t="s">
        <v>7</v>
      </c>
      <c r="E57" s="5" t="s">
        <v>6</v>
      </c>
      <c r="F57" s="7" t="s">
        <v>7</v>
      </c>
    </row>
    <row r="58">
      <c r="A58" s="8" t="s">
        <v>84</v>
      </c>
      <c r="B58" s="6" t="s">
        <v>5</v>
      </c>
      <c r="C58" s="8" t="s">
        <v>35</v>
      </c>
      <c r="D58" s="7" t="s">
        <v>7</v>
      </c>
      <c r="E58" s="8" t="s">
        <v>35</v>
      </c>
      <c r="F58" s="7" t="s">
        <v>7</v>
      </c>
    </row>
    <row r="59">
      <c r="A59" s="5" t="s">
        <v>85</v>
      </c>
      <c r="B59" s="6" t="s">
        <v>5</v>
      </c>
      <c r="C59" s="5" t="s">
        <v>6</v>
      </c>
      <c r="D59" s="7" t="s">
        <v>7</v>
      </c>
      <c r="E59" s="5" t="s">
        <v>6</v>
      </c>
      <c r="F59" s="7" t="s">
        <v>7</v>
      </c>
    </row>
    <row r="60">
      <c r="A60" s="8" t="s">
        <v>86</v>
      </c>
      <c r="B60" s="6" t="s">
        <v>5</v>
      </c>
      <c r="C60" s="8" t="s">
        <v>6</v>
      </c>
      <c r="D60" s="9" t="s">
        <v>10</v>
      </c>
      <c r="E60" s="8" t="s">
        <v>6</v>
      </c>
      <c r="F60" s="9" t="s">
        <v>10</v>
      </c>
    </row>
    <row r="61">
      <c r="A61" s="5" t="s">
        <v>87</v>
      </c>
      <c r="B61" s="6" t="s">
        <v>5</v>
      </c>
      <c r="C61" s="5" t="s">
        <v>47</v>
      </c>
      <c r="D61" s="7" t="s">
        <v>7</v>
      </c>
      <c r="E61" s="5" t="s">
        <v>47</v>
      </c>
      <c r="F61" s="7" t="s">
        <v>7</v>
      </c>
    </row>
    <row r="62">
      <c r="A62" s="8" t="s">
        <v>88</v>
      </c>
      <c r="B62" s="6" t="s">
        <v>5</v>
      </c>
      <c r="C62" s="8" t="s">
        <v>47</v>
      </c>
      <c r="D62" s="9" t="s">
        <v>10</v>
      </c>
      <c r="E62" s="8" t="s">
        <v>47</v>
      </c>
      <c r="F62" s="9" t="s">
        <v>10</v>
      </c>
    </row>
    <row r="63">
      <c r="A63" s="5" t="s">
        <v>89</v>
      </c>
      <c r="B63" s="6" t="s">
        <v>5</v>
      </c>
      <c r="C63" s="5" t="s">
        <v>47</v>
      </c>
      <c r="D63" s="7" t="s">
        <v>7</v>
      </c>
      <c r="E63" s="5" t="s">
        <v>47</v>
      </c>
      <c r="F63" s="7" t="s">
        <v>7</v>
      </c>
    </row>
    <row r="64">
      <c r="A64" s="8" t="s">
        <v>90</v>
      </c>
      <c r="B64" s="6" t="s">
        <v>5</v>
      </c>
      <c r="C64" s="8" t="s">
        <v>47</v>
      </c>
      <c r="D64" s="9" t="s">
        <v>10</v>
      </c>
      <c r="E64" s="8" t="s">
        <v>47</v>
      </c>
      <c r="F64" s="9" t="s">
        <v>10</v>
      </c>
    </row>
    <row r="65">
      <c r="A65" s="5" t="s">
        <v>91</v>
      </c>
      <c r="B65" s="6" t="s">
        <v>5</v>
      </c>
      <c r="C65" s="5" t="s">
        <v>6</v>
      </c>
      <c r="D65" s="9" t="s">
        <v>10</v>
      </c>
      <c r="E65" s="5" t="s">
        <v>6</v>
      </c>
      <c r="F65" s="9" t="s">
        <v>10</v>
      </c>
    </row>
    <row r="66">
      <c r="A66" s="8" t="s">
        <v>92</v>
      </c>
      <c r="B66" s="21" t="s">
        <v>93</v>
      </c>
      <c r="C66" s="8" t="s">
        <v>6</v>
      </c>
      <c r="D66" s="9" t="s">
        <v>10</v>
      </c>
      <c r="E66" s="8" t="s">
        <v>6</v>
      </c>
      <c r="F66" s="9" t="s">
        <v>10</v>
      </c>
    </row>
    <row r="67">
      <c r="A67" s="5" t="s">
        <v>94</v>
      </c>
      <c r="B67" s="21" t="s">
        <v>93</v>
      </c>
      <c r="C67" s="5" t="s">
        <v>35</v>
      </c>
      <c r="D67" s="7" t="s">
        <v>7</v>
      </c>
      <c r="E67" s="5" t="s">
        <v>35</v>
      </c>
      <c r="F67" s="7" t="s">
        <v>7</v>
      </c>
    </row>
    <row r="68">
      <c r="A68" s="8" t="s">
        <v>95</v>
      </c>
      <c r="B68" s="21" t="s">
        <v>93</v>
      </c>
      <c r="C68" s="8" t="s">
        <v>47</v>
      </c>
      <c r="D68" s="9" t="s">
        <v>10</v>
      </c>
      <c r="E68" s="8" t="s">
        <v>47</v>
      </c>
      <c r="F68" s="9" t="s">
        <v>10</v>
      </c>
    </row>
    <row r="69">
      <c r="A69" s="5" t="s">
        <v>96</v>
      </c>
      <c r="B69" s="21" t="s">
        <v>93</v>
      </c>
      <c r="C69" s="5" t="s">
        <v>9</v>
      </c>
      <c r="D69" s="7" t="s">
        <v>7</v>
      </c>
      <c r="E69" s="5" t="s">
        <v>9</v>
      </c>
      <c r="F69" s="7" t="s">
        <v>7</v>
      </c>
    </row>
    <row r="70">
      <c r="A70" s="8" t="s">
        <v>97</v>
      </c>
      <c r="B70" s="21" t="s">
        <v>93</v>
      </c>
      <c r="C70" s="8" t="s">
        <v>35</v>
      </c>
      <c r="D70" s="11" t="s">
        <v>15</v>
      </c>
      <c r="E70" s="8" t="s">
        <v>35</v>
      </c>
      <c r="F70" s="11" t="s">
        <v>15</v>
      </c>
    </row>
    <row r="71">
      <c r="A71" s="5" t="s">
        <v>98</v>
      </c>
      <c r="B71" s="21" t="s">
        <v>93</v>
      </c>
      <c r="C71" s="5" t="s">
        <v>47</v>
      </c>
      <c r="D71" s="7" t="s">
        <v>7</v>
      </c>
      <c r="E71" s="5" t="s">
        <v>47</v>
      </c>
      <c r="F71" s="7" t="s">
        <v>7</v>
      </c>
    </row>
    <row r="72">
      <c r="A72" s="8" t="s">
        <v>99</v>
      </c>
      <c r="B72" s="21" t="s">
        <v>93</v>
      </c>
      <c r="C72" s="8" t="s">
        <v>47</v>
      </c>
      <c r="D72" s="7" t="s">
        <v>7</v>
      </c>
      <c r="E72" s="8" t="s">
        <v>47</v>
      </c>
      <c r="F72" s="7" t="s">
        <v>7</v>
      </c>
    </row>
    <row r="73">
      <c r="A73" s="5" t="s">
        <v>100</v>
      </c>
      <c r="B73" s="21" t="s">
        <v>93</v>
      </c>
      <c r="C73" s="5" t="s">
        <v>49</v>
      </c>
      <c r="D73" s="7" t="s">
        <v>7</v>
      </c>
      <c r="E73" s="5" t="s">
        <v>49</v>
      </c>
      <c r="F73" s="7" t="s">
        <v>7</v>
      </c>
    </row>
    <row r="74">
      <c r="A74" s="8" t="s">
        <v>101</v>
      </c>
      <c r="B74" s="21" t="s">
        <v>93</v>
      </c>
      <c r="C74" s="8" t="s">
        <v>13</v>
      </c>
      <c r="D74" s="7" t="s">
        <v>7</v>
      </c>
      <c r="E74" s="8" t="s">
        <v>13</v>
      </c>
      <c r="F74" s="7" t="s">
        <v>7</v>
      </c>
    </row>
    <row r="75">
      <c r="A75" s="5" t="s">
        <v>102</v>
      </c>
      <c r="B75" s="21" t="s">
        <v>93</v>
      </c>
      <c r="C75" s="5" t="s">
        <v>6</v>
      </c>
      <c r="D75" s="9" t="s">
        <v>10</v>
      </c>
      <c r="E75" s="5" t="s">
        <v>6</v>
      </c>
      <c r="F75" s="9" t="s">
        <v>10</v>
      </c>
    </row>
    <row r="76">
      <c r="A76" s="5" t="s">
        <v>103</v>
      </c>
      <c r="B76" s="21" t="s">
        <v>93</v>
      </c>
      <c r="C76" s="5" t="s">
        <v>6</v>
      </c>
      <c r="D76" s="11" t="s">
        <v>15</v>
      </c>
      <c r="E76" s="5" t="s">
        <v>6</v>
      </c>
      <c r="F76" s="11" t="s">
        <v>15</v>
      </c>
    </row>
    <row r="77">
      <c r="A77" s="8" t="s">
        <v>104</v>
      </c>
      <c r="B77" s="21" t="s">
        <v>93</v>
      </c>
      <c r="C77" s="8" t="s">
        <v>6</v>
      </c>
      <c r="D77" s="9" t="s">
        <v>10</v>
      </c>
      <c r="E77" s="8" t="s">
        <v>6</v>
      </c>
      <c r="F77" s="9" t="s">
        <v>10</v>
      </c>
    </row>
    <row r="78">
      <c r="A78" s="5" t="s">
        <v>105</v>
      </c>
      <c r="B78" s="21" t="s">
        <v>93</v>
      </c>
      <c r="C78" s="5" t="s">
        <v>6</v>
      </c>
      <c r="D78" s="11" t="s">
        <v>15</v>
      </c>
      <c r="E78" s="5" t="s">
        <v>6</v>
      </c>
      <c r="F78" s="11" t="s">
        <v>15</v>
      </c>
    </row>
    <row r="79">
      <c r="A79" s="8" t="s">
        <v>106</v>
      </c>
      <c r="B79" s="21" t="s">
        <v>93</v>
      </c>
      <c r="C79" s="8" t="s">
        <v>6</v>
      </c>
      <c r="D79" s="11" t="s">
        <v>15</v>
      </c>
      <c r="E79" s="8" t="s">
        <v>6</v>
      </c>
      <c r="F79" s="11" t="s">
        <v>15</v>
      </c>
    </row>
    <row r="80">
      <c r="A80" s="5" t="s">
        <v>107</v>
      </c>
      <c r="B80" s="21" t="s">
        <v>93</v>
      </c>
      <c r="C80" s="5" t="s">
        <v>6</v>
      </c>
      <c r="D80" s="11" t="s">
        <v>15</v>
      </c>
      <c r="E80" s="5" t="s">
        <v>6</v>
      </c>
      <c r="F80" s="11" t="s">
        <v>15</v>
      </c>
    </row>
    <row r="81">
      <c r="A81" s="8" t="s">
        <v>108</v>
      </c>
      <c r="B81" s="21" t="s">
        <v>93</v>
      </c>
      <c r="C81" s="8" t="s">
        <v>6</v>
      </c>
      <c r="D81" s="11" t="s">
        <v>15</v>
      </c>
      <c r="E81" s="8" t="s">
        <v>6</v>
      </c>
      <c r="F81" s="11" t="s">
        <v>15</v>
      </c>
    </row>
    <row r="82">
      <c r="A82" s="5" t="s">
        <v>109</v>
      </c>
      <c r="B82" s="21" t="s">
        <v>93</v>
      </c>
      <c r="C82" s="5" t="s">
        <v>6</v>
      </c>
      <c r="D82" s="7" t="s">
        <v>7</v>
      </c>
      <c r="E82" s="5" t="s">
        <v>6</v>
      </c>
      <c r="F82" s="7" t="s">
        <v>7</v>
      </c>
    </row>
    <row r="83">
      <c r="A83" s="8" t="s">
        <v>110</v>
      </c>
      <c r="B83" s="21" t="s">
        <v>93</v>
      </c>
      <c r="C83" s="8" t="s">
        <v>6</v>
      </c>
      <c r="D83" s="9" t="s">
        <v>10</v>
      </c>
      <c r="E83" s="8" t="s">
        <v>6</v>
      </c>
      <c r="F83" s="9" t="s">
        <v>10</v>
      </c>
    </row>
    <row r="84">
      <c r="A84" s="5" t="s">
        <v>111</v>
      </c>
      <c r="B84" s="21" t="s">
        <v>93</v>
      </c>
      <c r="C84" s="5" t="s">
        <v>6</v>
      </c>
      <c r="D84" s="9" t="s">
        <v>10</v>
      </c>
      <c r="E84" s="5" t="s">
        <v>6</v>
      </c>
      <c r="F84" s="9" t="s">
        <v>10</v>
      </c>
    </row>
    <row r="85">
      <c r="A85" s="8" t="s">
        <v>112</v>
      </c>
      <c r="B85" s="21" t="s">
        <v>93</v>
      </c>
      <c r="C85" s="8" t="s">
        <v>6</v>
      </c>
      <c r="D85" s="9" t="s">
        <v>10</v>
      </c>
      <c r="E85" s="8" t="s">
        <v>6</v>
      </c>
      <c r="F85" s="9" t="s">
        <v>10</v>
      </c>
    </row>
    <row r="86">
      <c r="A86" s="5" t="s">
        <v>113</v>
      </c>
      <c r="B86" s="21" t="s">
        <v>93</v>
      </c>
      <c r="C86" s="5" t="s">
        <v>6</v>
      </c>
      <c r="D86" s="9" t="s">
        <v>10</v>
      </c>
      <c r="E86" s="5" t="s">
        <v>6</v>
      </c>
      <c r="F86" s="9" t="s">
        <v>10</v>
      </c>
    </row>
    <row r="87">
      <c r="A87" s="8" t="s">
        <v>114</v>
      </c>
      <c r="B87" s="21" t="s">
        <v>93</v>
      </c>
      <c r="C87" s="8" t="s">
        <v>6</v>
      </c>
      <c r="D87" s="7" t="s">
        <v>7</v>
      </c>
      <c r="E87" s="8" t="s">
        <v>6</v>
      </c>
      <c r="F87" s="7" t="s">
        <v>7</v>
      </c>
    </row>
    <row r="88">
      <c r="A88" s="5" t="s">
        <v>115</v>
      </c>
      <c r="B88" s="21" t="s">
        <v>93</v>
      </c>
      <c r="C88" s="5" t="s">
        <v>6</v>
      </c>
      <c r="D88" s="7" t="s">
        <v>7</v>
      </c>
      <c r="E88" s="5" t="s">
        <v>6</v>
      </c>
      <c r="F88" s="7" t="s">
        <v>7</v>
      </c>
    </row>
    <row r="89">
      <c r="A89" s="8" t="s">
        <v>116</v>
      </c>
      <c r="B89" s="21" t="s">
        <v>93</v>
      </c>
      <c r="C89" s="8" t="s">
        <v>6</v>
      </c>
      <c r="D89" s="11" t="s">
        <v>15</v>
      </c>
      <c r="E89" s="8" t="s">
        <v>6</v>
      </c>
      <c r="F89" s="11" t="s">
        <v>15</v>
      </c>
    </row>
    <row r="90">
      <c r="A90" s="5" t="s">
        <v>117</v>
      </c>
      <c r="B90" s="21" t="s">
        <v>93</v>
      </c>
      <c r="C90" s="5" t="s">
        <v>47</v>
      </c>
      <c r="D90" s="7" t="s">
        <v>7</v>
      </c>
      <c r="E90" s="5" t="s">
        <v>47</v>
      </c>
      <c r="F90" s="7" t="s">
        <v>7</v>
      </c>
    </row>
    <row r="91">
      <c r="A91" s="8" t="s">
        <v>118</v>
      </c>
      <c r="B91" s="21" t="s">
        <v>93</v>
      </c>
      <c r="C91" s="8" t="s">
        <v>6</v>
      </c>
      <c r="D91" s="7" t="s">
        <v>7</v>
      </c>
      <c r="E91" s="8" t="s">
        <v>6</v>
      </c>
      <c r="F91" s="7" t="s">
        <v>7</v>
      </c>
    </row>
    <row r="92">
      <c r="A92" s="5" t="s">
        <v>119</v>
      </c>
      <c r="B92" s="21" t="s">
        <v>93</v>
      </c>
      <c r="C92" s="5" t="s">
        <v>6</v>
      </c>
      <c r="D92" s="9" t="s">
        <v>10</v>
      </c>
      <c r="E92" s="5" t="s">
        <v>6</v>
      </c>
      <c r="F92" s="9" t="s">
        <v>10</v>
      </c>
    </row>
    <row r="93">
      <c r="A93" s="8" t="s">
        <v>120</v>
      </c>
      <c r="B93" s="21" t="s">
        <v>93</v>
      </c>
      <c r="C93" s="8" t="s">
        <v>47</v>
      </c>
      <c r="D93" s="9" t="s">
        <v>10</v>
      </c>
      <c r="E93" s="8" t="s">
        <v>47</v>
      </c>
      <c r="F93" s="9" t="s">
        <v>10</v>
      </c>
    </row>
    <row r="94">
      <c r="A94" s="5" t="s">
        <v>121</v>
      </c>
      <c r="B94" s="21" t="s">
        <v>93</v>
      </c>
      <c r="C94" s="5" t="s">
        <v>47</v>
      </c>
      <c r="D94" s="7" t="s">
        <v>7</v>
      </c>
      <c r="E94" s="5" t="s">
        <v>47</v>
      </c>
      <c r="F94" s="7" t="s">
        <v>7</v>
      </c>
    </row>
    <row r="95">
      <c r="A95" s="8" t="s">
        <v>122</v>
      </c>
      <c r="B95" s="21" t="s">
        <v>93</v>
      </c>
      <c r="C95" s="8" t="s">
        <v>6</v>
      </c>
      <c r="D95" s="7" t="s">
        <v>7</v>
      </c>
      <c r="E95" s="8" t="s">
        <v>6</v>
      </c>
      <c r="F95" s="7" t="s">
        <v>7</v>
      </c>
    </row>
    <row r="96">
      <c r="A96" s="5" t="s">
        <v>123</v>
      </c>
      <c r="B96" s="21" t="s">
        <v>93</v>
      </c>
      <c r="C96" s="5" t="s">
        <v>6</v>
      </c>
      <c r="D96" s="9" t="s">
        <v>10</v>
      </c>
      <c r="E96" s="5" t="s">
        <v>6</v>
      </c>
      <c r="F96" s="9" t="s">
        <v>10</v>
      </c>
    </row>
    <row r="97">
      <c r="A97" s="8" t="s">
        <v>124</v>
      </c>
      <c r="B97" s="21" t="s">
        <v>93</v>
      </c>
      <c r="C97" s="8" t="s">
        <v>35</v>
      </c>
      <c r="D97" s="7" t="s">
        <v>7</v>
      </c>
      <c r="E97" s="8" t="s">
        <v>35</v>
      </c>
      <c r="F97" s="7" t="s">
        <v>7</v>
      </c>
    </row>
    <row r="98">
      <c r="A98" s="5" t="s">
        <v>125</v>
      </c>
      <c r="B98" s="21" t="s">
        <v>93</v>
      </c>
      <c r="C98" s="5" t="s">
        <v>6</v>
      </c>
      <c r="D98" s="7" t="s">
        <v>7</v>
      </c>
      <c r="E98" s="5" t="s">
        <v>6</v>
      </c>
      <c r="F98" s="7" t="s">
        <v>7</v>
      </c>
    </row>
    <row r="99">
      <c r="A99" s="8" t="s">
        <v>126</v>
      </c>
      <c r="B99" s="21" t="s">
        <v>93</v>
      </c>
      <c r="C99" s="8" t="s">
        <v>6</v>
      </c>
      <c r="D99" s="7" t="s">
        <v>7</v>
      </c>
      <c r="E99" s="8" t="s">
        <v>6</v>
      </c>
      <c r="F99" s="7" t="s">
        <v>7</v>
      </c>
    </row>
    <row r="100">
      <c r="A100" s="5" t="s">
        <v>127</v>
      </c>
      <c r="B100" s="21" t="s">
        <v>93</v>
      </c>
      <c r="C100" s="5" t="s">
        <v>6</v>
      </c>
      <c r="D100" s="9" t="s">
        <v>10</v>
      </c>
      <c r="E100" s="5" t="s">
        <v>6</v>
      </c>
      <c r="F100" s="9" t="s">
        <v>10</v>
      </c>
    </row>
    <row r="101">
      <c r="A101" s="8" t="s">
        <v>128</v>
      </c>
      <c r="B101" s="21" t="s">
        <v>93</v>
      </c>
      <c r="C101" s="8" t="s">
        <v>6</v>
      </c>
      <c r="D101" s="11" t="s">
        <v>15</v>
      </c>
      <c r="E101" s="8" t="s">
        <v>6</v>
      </c>
      <c r="F101" s="11" t="s">
        <v>15</v>
      </c>
    </row>
    <row r="102">
      <c r="A102" s="5" t="s">
        <v>129</v>
      </c>
      <c r="B102" s="21" t="s">
        <v>93</v>
      </c>
      <c r="C102" s="5" t="s">
        <v>6</v>
      </c>
      <c r="D102" s="11" t="s">
        <v>15</v>
      </c>
      <c r="E102" s="5" t="s">
        <v>6</v>
      </c>
      <c r="F102" s="11" t="s">
        <v>15</v>
      </c>
    </row>
    <row r="103">
      <c r="A103" s="8" t="s">
        <v>130</v>
      </c>
      <c r="B103" s="21" t="s">
        <v>93</v>
      </c>
      <c r="C103" s="8" t="s">
        <v>35</v>
      </c>
      <c r="D103" s="7" t="s">
        <v>7</v>
      </c>
      <c r="E103" s="8" t="s">
        <v>35</v>
      </c>
      <c r="F103" s="7" t="s">
        <v>7</v>
      </c>
    </row>
    <row r="104">
      <c r="A104" s="5" t="s">
        <v>131</v>
      </c>
      <c r="B104" s="21" t="s">
        <v>93</v>
      </c>
      <c r="C104" s="5" t="s">
        <v>6</v>
      </c>
      <c r="D104" s="11" t="s">
        <v>15</v>
      </c>
      <c r="E104" s="5" t="s">
        <v>6</v>
      </c>
      <c r="F104" s="11" t="s">
        <v>15</v>
      </c>
    </row>
    <row r="105">
      <c r="A105" s="8" t="s">
        <v>132</v>
      </c>
      <c r="B105" s="21" t="s">
        <v>93</v>
      </c>
      <c r="C105" s="8" t="s">
        <v>6</v>
      </c>
      <c r="D105" s="7" t="s">
        <v>7</v>
      </c>
      <c r="E105" s="8" t="s">
        <v>6</v>
      </c>
      <c r="F105" s="7" t="s">
        <v>7</v>
      </c>
    </row>
    <row r="106">
      <c r="A106" s="5" t="s">
        <v>133</v>
      </c>
      <c r="B106" s="21" t="s">
        <v>93</v>
      </c>
      <c r="C106" s="5" t="s">
        <v>134</v>
      </c>
      <c r="D106" s="9" t="s">
        <v>10</v>
      </c>
      <c r="E106" s="5" t="s">
        <v>134</v>
      </c>
      <c r="F106" s="9" t="s">
        <v>10</v>
      </c>
    </row>
    <row r="107">
      <c r="A107" s="8" t="s">
        <v>135</v>
      </c>
      <c r="B107" s="21" t="s">
        <v>93</v>
      </c>
      <c r="C107" s="8" t="s">
        <v>47</v>
      </c>
      <c r="D107" s="7" t="s">
        <v>7</v>
      </c>
      <c r="E107" s="8" t="s">
        <v>47</v>
      </c>
      <c r="F107" s="7" t="s">
        <v>7</v>
      </c>
    </row>
    <row r="108">
      <c r="A108" s="5" t="s">
        <v>136</v>
      </c>
      <c r="B108" s="21" t="s">
        <v>93</v>
      </c>
      <c r="C108" s="5" t="s">
        <v>35</v>
      </c>
      <c r="D108" s="7" t="s">
        <v>7</v>
      </c>
      <c r="E108" s="5" t="s">
        <v>35</v>
      </c>
      <c r="F108" s="7" t="s">
        <v>7</v>
      </c>
    </row>
  </sheetData>
  <mergeCells count="5">
    <mergeCell ref="C1:D1"/>
    <mergeCell ref="E1:F1"/>
    <mergeCell ref="I6:J6"/>
    <mergeCell ref="H12:K12"/>
    <mergeCell ref="H19:K19"/>
  </mergeCells>
  <drawing r:id="rId1"/>
</worksheet>
</file>